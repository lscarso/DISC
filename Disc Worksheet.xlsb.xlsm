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defaultThemeVersion="166925"/>
  <xr:revisionPtr revIDLastSave="0" documentId="13_ncr:1_{B31703E2-0950-450B-AAB1-31410E429229}" xr6:coauthVersionLast="36" xr6:coauthVersionMax="36" xr10:uidLastSave="{00000000-0000-0000-0000-000000000000}"/>
  <bookViews>
    <workbookView xWindow="0" yWindow="0" windowWidth="23016" windowHeight="8880" activeTab="1" xr2:uid="{2F44D77A-369E-4A78-A085-39C6986B1D85}"/>
  </bookViews>
  <sheets>
    <sheet name="Master" sheetId="8" r:id="rId1"/>
    <sheet name="Exmaple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3" i="8" l="1"/>
  <c r="D30" i="8" s="1"/>
  <c r="F13" i="8"/>
  <c r="B23" i="8" s="1"/>
  <c r="D13" i="8"/>
  <c r="B30" i="8" s="1"/>
  <c r="B13" i="8"/>
  <c r="B21" i="8" s="1"/>
  <c r="H13" i="7"/>
  <c r="D30" i="7" s="1"/>
  <c r="F13" i="7"/>
  <c r="C30" i="7" s="1"/>
  <c r="D13" i="7"/>
  <c r="B30" i="7" s="1"/>
  <c r="B13" i="7"/>
  <c r="A30" i="7" s="1"/>
  <c r="A20" i="8" l="1"/>
  <c r="C30" i="8"/>
  <c r="A22" i="8"/>
  <c r="A30" i="8"/>
  <c r="A20" i="7"/>
  <c r="B21" i="7"/>
  <c r="A22" i="7"/>
  <c r="B23" i="7"/>
  <c r="A25" i="8"/>
  <c r="A25" i="7"/>
  <c r="B25" i="7"/>
  <c r="B25" i="8"/>
  <c r="B31" i="8" l="1"/>
  <c r="D31" i="8"/>
  <c r="C31" i="8"/>
  <c r="A31" i="8"/>
  <c r="C31" i="7"/>
  <c r="A31" i="7"/>
  <c r="D31" i="7"/>
  <c r="B31" i="7"/>
</calcChain>
</file>

<file path=xl/sharedStrings.xml><?xml version="1.0" encoding="utf-8"?>
<sst xmlns="http://schemas.openxmlformats.org/spreadsheetml/2006/main" count="126" uniqueCount="59">
  <si>
    <t>Dirigere</t>
  </si>
  <si>
    <t>Influenzare</t>
  </si>
  <si>
    <t>Stabile</t>
  </si>
  <si>
    <t>Prudente</t>
  </si>
  <si>
    <t>Sicuro di Sé</t>
  </si>
  <si>
    <t>Ottimista</t>
  </si>
  <si>
    <t>Controllato</t>
  </si>
  <si>
    <t>Avventuroso</t>
  </si>
  <si>
    <t>Entusiasta</t>
  </si>
  <si>
    <t>Prevedibile</t>
  </si>
  <si>
    <t>Logico</t>
  </si>
  <si>
    <t>Risoluto</t>
  </si>
  <si>
    <t>Aperto</t>
  </si>
  <si>
    <t>Paziente</t>
  </si>
  <si>
    <t>Analitico</t>
  </si>
  <si>
    <t>Audace</t>
  </si>
  <si>
    <t>Impulsivo</t>
  </si>
  <si>
    <t>Preciso</t>
  </si>
  <si>
    <t>Irrequieto</t>
  </si>
  <si>
    <t>Emotivo</t>
  </si>
  <si>
    <t>Protettivo</t>
  </si>
  <si>
    <t>Scettico</t>
  </si>
  <si>
    <t>Competitivo</t>
  </si>
  <si>
    <t>Accomodante</t>
  </si>
  <si>
    <t>Curioso</t>
  </si>
  <si>
    <t>Assertivo</t>
  </si>
  <si>
    <t>Loquace</t>
  </si>
  <si>
    <t>Modesto</t>
  </si>
  <si>
    <t>Diretto</t>
  </si>
  <si>
    <t>Sperimentare</t>
  </si>
  <si>
    <t>Avvincente</t>
  </si>
  <si>
    <t>Leale</t>
  </si>
  <si>
    <t>Coerente</t>
  </si>
  <si>
    <t>Impetuoso</t>
  </si>
  <si>
    <t>Sensibile</t>
  </si>
  <si>
    <t>Sincero</t>
  </si>
  <si>
    <t>Perfezionista</t>
  </si>
  <si>
    <t>D</t>
  </si>
  <si>
    <t>I</t>
  </si>
  <si>
    <t>S</t>
  </si>
  <si>
    <t>C</t>
  </si>
  <si>
    <t>Centroide</t>
  </si>
  <si>
    <t>Tabella Coordinate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</si>
  <si>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</si>
  <si>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</si>
  <si>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</si>
  <si>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</si>
  <si>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</si>
  <si>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</si>
  <si>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</si>
  <si>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</si>
  <si>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Totale</t>
  </si>
  <si>
    <t>X</t>
  </si>
  <si>
    <t>Y</t>
  </si>
  <si>
    <t>Serie Grafico</t>
  </si>
  <si>
    <t>Come ti vedi sul lavoro?</t>
  </si>
  <si>
    <t>Ponderato</t>
  </si>
  <si>
    <t>Stabilizzante</t>
  </si>
  <si>
    <t>Persuadente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</si>
</sst>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0" fontId="1" fillId="2" borderId="0" xfId="1"/>
    <xf numFmtId="0" fontId="2" fillId="3" borderId="0" xfId="2"/>
    <xf numFmtId="0" fontId="0" fillId="0" borderId="0" xfId="0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35324582303903"/>
          <c:y val="0.10346947728760959"/>
          <c:w val="0.78033091572614166"/>
          <c:h val="0.788416180011976"/>
        </c:manualLayout>
      </c:layout>
      <c:radarChart>
        <c:radarStyle val="marker"/>
        <c:varyColors val="0"/>
        <c:ser>
          <c:idx val="1"/>
          <c:order val="1"/>
          <c:tx>
            <c:strRef>
              <c:f>Master!$A$29:$D$29</c:f>
              <c:strCache>
                <c:ptCount val="4"/>
                <c:pt idx="0">
                  <c:v>D</c:v>
                </c:pt>
                <c:pt idx="1">
                  <c:v>I</c:v>
                </c:pt>
                <c:pt idx="2">
                  <c:v>S</c:v>
                </c:pt>
                <c:pt idx="3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Master!$A$29:$D$29</c:f>
              <c:strCache>
                <c:ptCount val="4"/>
                <c:pt idx="0">
                  <c:v>D</c:v>
                </c:pt>
                <c:pt idx="1">
                  <c:v>I</c:v>
                </c:pt>
                <c:pt idx="2">
                  <c:v>S</c:v>
                </c:pt>
                <c:pt idx="3">
                  <c:v>C</c:v>
                </c:pt>
              </c:strCache>
            </c:strRef>
          </c:cat>
          <c:val>
            <c:numRef>
              <c:f>Master!$A$30:$D$30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BD-4E77-8A24-29BC94C69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565679"/>
        <c:axId val="1977223999"/>
      </c:radarChart>
      <c:scatterChart>
        <c:scatterStyle val="lineMarker"/>
        <c:varyColors val="0"/>
        <c:ser>
          <c:idx val="0"/>
          <c:order val="0"/>
          <c:tx>
            <c:strRef>
              <c:f>Master!$C$25</c:f>
              <c:strCache>
                <c:ptCount val="1"/>
                <c:pt idx="0">
                  <c:v>Centroide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01600">
                <a:solidFill>
                  <a:schemeClr val="tx1"/>
                </a:solidFill>
              </a:ln>
              <a:effectLst/>
            </c:spPr>
          </c:marker>
          <c:xVal>
            <c:numRef>
              <c:f>Master!$A$25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Master!$B$25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BD-4E77-8A24-29BC94C69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64623"/>
        <c:axId val="117750639"/>
      </c:scatterChart>
      <c:valAx>
        <c:axId val="109364623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750639"/>
        <c:crossesAt val="0"/>
        <c:crossBetween val="midCat"/>
      </c:valAx>
      <c:valAx>
        <c:axId val="117750639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9364623"/>
        <c:crossesAt val="0"/>
        <c:crossBetween val="midCat"/>
      </c:valAx>
      <c:valAx>
        <c:axId val="1977223999"/>
        <c:scaling>
          <c:orientation val="minMax"/>
          <c:max val="4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565679"/>
        <c:crosses val="autoZero"/>
        <c:crossBetween val="between"/>
      </c:valAx>
      <c:catAx>
        <c:axId val="190156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77223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35324582303903"/>
          <c:y val="0.10346947728760959"/>
          <c:w val="0.78033091572614166"/>
          <c:h val="0.788416180011976"/>
        </c:manualLayout>
      </c:layout>
      <c:radarChart>
        <c:radarStyle val="marker"/>
        <c:varyColors val="0"/>
        <c:ser>
          <c:idx val="1"/>
          <c:order val="1"/>
          <c:tx>
            <c:strRef>
              <c:f>Exmaple!$A$29:$D$29</c:f>
              <c:strCache>
                <c:ptCount val="4"/>
                <c:pt idx="0">
                  <c:v>D</c:v>
                </c:pt>
                <c:pt idx="1">
                  <c:v>I</c:v>
                </c:pt>
                <c:pt idx="2">
                  <c:v>S</c:v>
                </c:pt>
                <c:pt idx="3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Exmaple!$A$29:$D$29</c:f>
              <c:strCache>
                <c:ptCount val="4"/>
                <c:pt idx="0">
                  <c:v>D</c:v>
                </c:pt>
                <c:pt idx="1">
                  <c:v>I</c:v>
                </c:pt>
                <c:pt idx="2">
                  <c:v>S</c:v>
                </c:pt>
                <c:pt idx="3">
                  <c:v>C</c:v>
                </c:pt>
              </c:strCache>
            </c:strRef>
          </c:cat>
          <c:val>
            <c:numRef>
              <c:f>Exmaple!$A$30:$D$30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D-4FE2-86E0-357F2807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565679"/>
        <c:axId val="1977223999"/>
      </c:radarChart>
      <c:scatterChart>
        <c:scatterStyle val="lineMarker"/>
        <c:varyColors val="0"/>
        <c:ser>
          <c:idx val="0"/>
          <c:order val="0"/>
          <c:tx>
            <c:strRef>
              <c:f>Exmaple!$C$25</c:f>
              <c:strCache>
                <c:ptCount val="1"/>
                <c:pt idx="0">
                  <c:v>Centroide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01600">
                <a:solidFill>
                  <a:schemeClr val="tx1"/>
                </a:solidFill>
              </a:ln>
              <a:effectLst/>
            </c:spPr>
          </c:marker>
          <c:xVal>
            <c:numRef>
              <c:f>Exmaple!$A$25</c:f>
              <c:numCache>
                <c:formatCode>General</c:formatCode>
                <c:ptCount val="1"/>
                <c:pt idx="0">
                  <c:v>-3.3333333333333335</c:v>
                </c:pt>
              </c:numCache>
            </c:numRef>
          </c:xVal>
          <c:yVal>
            <c:numRef>
              <c:f>Exmaple!$B$25</c:f>
              <c:numCache>
                <c:formatCode>General</c:formatCode>
                <c:ptCount val="1"/>
                <c:pt idx="0">
                  <c:v>-3.3333333333333335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0D-4FE2-86E0-357F2807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64623"/>
        <c:axId val="117750639"/>
      </c:scatterChart>
      <c:valAx>
        <c:axId val="109364623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750639"/>
        <c:crossesAt val="0"/>
        <c:crossBetween val="midCat"/>
      </c:valAx>
      <c:valAx>
        <c:axId val="117750639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9364623"/>
        <c:crossesAt val="0"/>
        <c:crossBetween val="midCat"/>
      </c:valAx>
      <c:valAx>
        <c:axId val="1977223999"/>
        <c:scaling>
          <c:orientation val="minMax"/>
          <c:max val="4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565679"/>
        <c:crosses val="autoZero"/>
        <c:crossBetween val="between"/>
      </c:valAx>
      <c:catAx>
        <c:axId val="190156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77223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241093</xdr:colOff>
      <xdr:row>1</xdr:row>
      <xdr:rowOff>13337</xdr:rowOff>
    </xdr:from>
    <xdr:to>
      <xdr:col>18</xdr:col>
      <xdr:colOff>483823</xdr:colOff>
      <xdr:row>36</xdr:row>
      <xdr:rowOff>101350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75085F4-482C-4B99-818F-F4E45A3F3B19}"/>
            </a:ext>
          </a:extLst>
        </xdr:cNvPr>
        <xdr:cNvGrpSpPr/>
      </xdr:nvGrpSpPr>
      <xdr:grpSpPr>
        <a:xfrm>
          <a:off x="6565693" y="196217"/>
          <a:ext cx="6338730" cy="6488813"/>
          <a:chOff x="7065276" y="510861"/>
          <a:chExt cx="6697463" cy="6770516"/>
        </a:xfrm>
      </xdr:grpSpPr>
      <xdr:sp macro="" textlink="">
        <xdr:nvSpPr>
          <xdr:cNvPr id="3" name="Partial Circle 2">
            <a:extLst>
              <a:ext uri="{FF2B5EF4-FFF2-40B4-BE49-F238E27FC236}">
                <a16:creationId xmlns:a16="http://schemas.microsoft.com/office/drawing/2014/main" id="{D081AB59-2828-4F94-9696-D2480E1F7529}"/>
              </a:ext>
            </a:extLst>
          </xdr:cNvPr>
          <xdr:cNvSpPr/>
        </xdr:nvSpPr>
        <xdr:spPr>
          <a:xfrm rot="2712188">
            <a:off x="7800952" y="1240032"/>
            <a:ext cx="5253364" cy="5297445"/>
          </a:xfrm>
          <a:prstGeom prst="pie">
            <a:avLst>
              <a:gd name="adj1" fmla="val 10807947"/>
              <a:gd name="adj2" fmla="val 16212360"/>
            </a:avLst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2800">
              <a:solidFill>
                <a:schemeClr val="tx1"/>
              </a:solidFill>
            </a:endParaRPr>
          </a:p>
        </xdr:txBody>
      </xdr:sp>
      <xdr:sp macro="" textlink="">
        <xdr:nvSpPr>
          <xdr:cNvPr id="4" name="Partial Circle 3">
            <a:extLst>
              <a:ext uri="{FF2B5EF4-FFF2-40B4-BE49-F238E27FC236}">
                <a16:creationId xmlns:a16="http://schemas.microsoft.com/office/drawing/2014/main" id="{A3579AF8-FF99-4D28-AD38-7466278B69A2}"/>
              </a:ext>
            </a:extLst>
          </xdr:cNvPr>
          <xdr:cNvSpPr/>
        </xdr:nvSpPr>
        <xdr:spPr>
          <a:xfrm rot="2712188">
            <a:off x="7802391" y="1235698"/>
            <a:ext cx="5249191" cy="5296548"/>
          </a:xfrm>
          <a:prstGeom prst="pie">
            <a:avLst>
              <a:gd name="adj1" fmla="val 5396005"/>
              <a:gd name="adj2" fmla="val 10801555"/>
            </a:avLst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 anchorCtr="0"/>
          <a:lstStyle/>
          <a:p>
            <a:pPr algn="l"/>
            <a:endParaRPr lang="it-IT" sz="2400" b="1">
              <a:solidFill>
                <a:schemeClr val="tx1"/>
              </a:solidFill>
            </a:endParaRPr>
          </a:p>
        </xdr:txBody>
      </xdr:sp>
      <xdr:sp macro="" textlink="">
        <xdr:nvSpPr>
          <xdr:cNvPr id="5" name="Partial Circle 4">
            <a:extLst>
              <a:ext uri="{FF2B5EF4-FFF2-40B4-BE49-F238E27FC236}">
                <a16:creationId xmlns:a16="http://schemas.microsoft.com/office/drawing/2014/main" id="{00204C65-5E66-466F-989C-21650611257B}"/>
              </a:ext>
            </a:extLst>
          </xdr:cNvPr>
          <xdr:cNvSpPr>
            <a:spLocks/>
          </xdr:cNvSpPr>
        </xdr:nvSpPr>
        <xdr:spPr>
          <a:xfrm rot="2712188">
            <a:off x="7803410" y="1239282"/>
            <a:ext cx="5247603" cy="5296520"/>
          </a:xfrm>
          <a:prstGeom prst="pie">
            <a:avLst>
              <a:gd name="adj1" fmla="val 21581075"/>
              <a:gd name="adj2" fmla="val 5404363"/>
            </a:avLst>
          </a:prstGeom>
          <a:solidFill>
            <a:srgbClr val="00B0F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20000" rtlCol="0" anchor="b" anchorCtr="0"/>
          <a:lstStyle/>
          <a:p>
            <a:pPr algn="l"/>
            <a:endParaRPr lang="it-IT" sz="2400" b="1">
              <a:solidFill>
                <a:schemeClr val="tx1"/>
              </a:solidFill>
            </a:endParaRPr>
          </a:p>
        </xdr:txBody>
      </xdr:sp>
      <xdr:sp macro="" textlink="">
        <xdr:nvSpPr>
          <xdr:cNvPr id="6" name="Partial Circle 5">
            <a:extLst>
              <a:ext uri="{FF2B5EF4-FFF2-40B4-BE49-F238E27FC236}">
                <a16:creationId xmlns:a16="http://schemas.microsoft.com/office/drawing/2014/main" id="{D4BC4543-4DA3-44C0-8DC5-2D11ECA82F2D}"/>
              </a:ext>
            </a:extLst>
          </xdr:cNvPr>
          <xdr:cNvSpPr/>
        </xdr:nvSpPr>
        <xdr:spPr>
          <a:xfrm rot="2712188">
            <a:off x="7796524" y="1245064"/>
            <a:ext cx="5260131" cy="5298609"/>
          </a:xfrm>
          <a:prstGeom prst="pie">
            <a:avLst>
              <a:gd name="adj1" fmla="val 16200339"/>
              <a:gd name="adj2" fmla="val 22904"/>
            </a:avLst>
          </a:prstGeom>
          <a:solidFill>
            <a:srgbClr val="FFA3A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56000" rtlCol="0" anchor="t"/>
          <a:lstStyle/>
          <a:p>
            <a:pPr algn="l"/>
            <a:endParaRPr lang="it-IT" sz="2400" b="1">
              <a:solidFill>
                <a:schemeClr val="tx1"/>
              </a:solidFill>
            </a:endParaRPr>
          </a:p>
        </xdr:txBody>
      </xdr:sp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BD8C6B1E-3409-49CD-9E83-182144DBF944}"/>
              </a:ext>
            </a:extLst>
          </xdr:cNvPr>
          <xdr:cNvGraphicFramePr>
            <a:graphicFrameLocks/>
          </xdr:cNvGraphicFramePr>
        </xdr:nvGraphicFramePr>
        <xdr:xfrm>
          <a:off x="7065276" y="510861"/>
          <a:ext cx="6697463" cy="6770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239188</xdr:colOff>
      <xdr:row>1</xdr:row>
      <xdr:rowOff>14289</xdr:rowOff>
    </xdr:from>
    <xdr:to>
      <xdr:col>18</xdr:col>
      <xdr:colOff>482870</xdr:colOff>
      <xdr:row>36</xdr:row>
      <xdr:rowOff>100397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8B6222-597F-4A80-9B8B-6561EADDF01B}"/>
            </a:ext>
          </a:extLst>
        </xdr:cNvPr>
        <xdr:cNvGrpSpPr/>
      </xdr:nvGrpSpPr>
      <xdr:grpSpPr>
        <a:xfrm>
          <a:off x="6563788" y="197169"/>
          <a:ext cx="6339682" cy="6486908"/>
          <a:chOff x="7065276" y="510861"/>
          <a:chExt cx="6697463" cy="6770516"/>
        </a:xfrm>
      </xdr:grpSpPr>
      <xdr:sp macro="" textlink="">
        <xdr:nvSpPr>
          <xdr:cNvPr id="3" name="Partial Circle 2">
            <a:extLst>
              <a:ext uri="{FF2B5EF4-FFF2-40B4-BE49-F238E27FC236}">
                <a16:creationId xmlns:a16="http://schemas.microsoft.com/office/drawing/2014/main" id="{0032B28B-F782-4B37-B5AA-4DAD9AC8D172}"/>
              </a:ext>
            </a:extLst>
          </xdr:cNvPr>
          <xdr:cNvSpPr/>
        </xdr:nvSpPr>
        <xdr:spPr>
          <a:xfrm rot="2712188">
            <a:off x="7800952" y="1240032"/>
            <a:ext cx="5253364" cy="5297445"/>
          </a:xfrm>
          <a:prstGeom prst="pie">
            <a:avLst>
              <a:gd name="adj1" fmla="val 10807947"/>
              <a:gd name="adj2" fmla="val 16212360"/>
            </a:avLst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2800">
              <a:solidFill>
                <a:schemeClr val="tx1"/>
              </a:solidFill>
            </a:endParaRPr>
          </a:p>
        </xdr:txBody>
      </xdr:sp>
      <xdr:sp macro="" textlink="">
        <xdr:nvSpPr>
          <xdr:cNvPr id="4" name="Partial Circle 3">
            <a:extLst>
              <a:ext uri="{FF2B5EF4-FFF2-40B4-BE49-F238E27FC236}">
                <a16:creationId xmlns:a16="http://schemas.microsoft.com/office/drawing/2014/main" id="{29E6C694-B882-45D7-A890-16AB23E48E4B}"/>
              </a:ext>
            </a:extLst>
          </xdr:cNvPr>
          <xdr:cNvSpPr/>
        </xdr:nvSpPr>
        <xdr:spPr>
          <a:xfrm rot="2712188">
            <a:off x="7802391" y="1235698"/>
            <a:ext cx="5249191" cy="5296548"/>
          </a:xfrm>
          <a:prstGeom prst="pie">
            <a:avLst>
              <a:gd name="adj1" fmla="val 5396005"/>
              <a:gd name="adj2" fmla="val 10801555"/>
            </a:avLst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 anchorCtr="0"/>
          <a:lstStyle/>
          <a:p>
            <a:pPr algn="l"/>
            <a:endParaRPr lang="it-IT" sz="2400" b="1">
              <a:solidFill>
                <a:schemeClr val="tx1"/>
              </a:solidFill>
            </a:endParaRPr>
          </a:p>
        </xdr:txBody>
      </xdr:sp>
      <xdr:sp macro="" textlink="">
        <xdr:nvSpPr>
          <xdr:cNvPr id="5" name="Partial Circle 4">
            <a:extLst>
              <a:ext uri="{FF2B5EF4-FFF2-40B4-BE49-F238E27FC236}">
                <a16:creationId xmlns:a16="http://schemas.microsoft.com/office/drawing/2014/main" id="{BE902859-5335-4CED-8BEC-25F8B2F7381B}"/>
              </a:ext>
            </a:extLst>
          </xdr:cNvPr>
          <xdr:cNvSpPr>
            <a:spLocks/>
          </xdr:cNvSpPr>
        </xdr:nvSpPr>
        <xdr:spPr>
          <a:xfrm rot="2712188">
            <a:off x="7803410" y="1239282"/>
            <a:ext cx="5247603" cy="5296520"/>
          </a:xfrm>
          <a:prstGeom prst="pie">
            <a:avLst>
              <a:gd name="adj1" fmla="val 21581075"/>
              <a:gd name="adj2" fmla="val 5404363"/>
            </a:avLst>
          </a:prstGeom>
          <a:solidFill>
            <a:srgbClr val="00B0F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20000" rtlCol="0" anchor="b" anchorCtr="0"/>
          <a:lstStyle/>
          <a:p>
            <a:pPr algn="l"/>
            <a:endParaRPr lang="it-IT" sz="2400" b="1">
              <a:solidFill>
                <a:schemeClr val="tx1"/>
              </a:solidFill>
            </a:endParaRPr>
          </a:p>
        </xdr:txBody>
      </xdr:sp>
      <xdr:sp macro="" textlink="">
        <xdr:nvSpPr>
          <xdr:cNvPr id="6" name="Partial Circle 5">
            <a:extLst>
              <a:ext uri="{FF2B5EF4-FFF2-40B4-BE49-F238E27FC236}">
                <a16:creationId xmlns:a16="http://schemas.microsoft.com/office/drawing/2014/main" id="{8DF5E00D-4F07-4F25-97B6-3060236DD6CB}"/>
              </a:ext>
            </a:extLst>
          </xdr:cNvPr>
          <xdr:cNvSpPr/>
        </xdr:nvSpPr>
        <xdr:spPr>
          <a:xfrm rot="2712188">
            <a:off x="7796524" y="1245064"/>
            <a:ext cx="5260131" cy="5298609"/>
          </a:xfrm>
          <a:prstGeom prst="pie">
            <a:avLst>
              <a:gd name="adj1" fmla="val 16200339"/>
              <a:gd name="adj2" fmla="val 22904"/>
            </a:avLst>
          </a:prstGeom>
          <a:solidFill>
            <a:srgbClr val="FFA3A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56000" rtlCol="0" anchor="t"/>
          <a:lstStyle/>
          <a:p>
            <a:pPr algn="l"/>
            <a:endParaRPr lang="it-IT" sz="2400" b="1">
              <a:solidFill>
                <a:schemeClr val="tx1"/>
              </a:solidFill>
            </a:endParaRPr>
          </a:p>
        </xdr:txBody>
      </xdr:sp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CC2F565-211A-42D4-81F1-D682F39AA052}"/>
              </a:ext>
            </a:extLst>
          </xdr:cNvPr>
          <xdr:cNvGraphicFramePr>
            <a:graphicFrameLocks/>
          </xdr:cNvGraphicFramePr>
        </xdr:nvGraphicFramePr>
        <xdr:xfrm>
          <a:off x="7065276" y="510861"/>
          <a:ext cx="6697463" cy="6770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4EF7F4-14F7-4831-BBFA-5D8B21553FD4}" name="Table13456" displayName="Table13456" ref="A2:H14" totalsRowShown="0">
  <autoFilter ref="A2:H14" xr:uid="{266C3D6D-F6CC-467E-A051-2E8A38E85D50}"/>
  <tableColumns count="8">
    <tableColumn id="1" xr3:uid="{A502412F-197A-421C-86DA-5BED3344B08E}" name="Column1"/>
    <tableColumn id="2" xr3:uid="{8462ABC1-B92C-498C-949C-391E12532C2F}" name="Column2"/>
    <tableColumn id="3" xr3:uid="{81219501-C3CC-4BF0-B558-F201B4F4330F}" name="Column3"/>
    <tableColumn id="4" xr3:uid="{EC577872-5CD8-4A2B-B3E0-F4CCD46E04EA}" name="Column4"/>
    <tableColumn id="5" xr3:uid="{F2144F84-9489-4728-84AB-129AF8DB2C3D}" name="Column5"/>
    <tableColumn id="6" xr3:uid="{472A01EB-390E-4112-95D7-28547E8AFB0C}" name="Column6"/>
    <tableColumn id="7" xr3:uid="{E0766C41-994F-46F2-9581-BB4936B43F5A}" name="Column7"/>
    <tableColumn id="8" xr3:uid="{F8ECA8A2-3A81-4EFE-A821-AC245DE8E64B}" name="Column8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B9BD52-344E-4F24-B4C1-7E0F7ADB7F47}" name="Table1345" displayName="Table1345" ref="A2:H14" totalsRowShown="0">
  <autoFilter ref="A2:H14" xr:uid="{266C3D6D-F6CC-467E-A051-2E8A38E85D50}"/>
  <tableColumns count="8">
    <tableColumn id="1" xr3:uid="{0E85C980-C2A6-450F-A6BA-E6F158753E94}" name="Column1"/>
    <tableColumn id="2" xr3:uid="{63FD41DD-FC20-4EB3-A00A-1B1681F1A2E8}" name="Column2"/>
    <tableColumn id="3" xr3:uid="{7A9E8543-5E48-4B21-98A7-A5A5AF84EB3B}" name="Column3"/>
    <tableColumn id="4" xr3:uid="{7683D5B1-DD54-45F4-8B90-89C282D14FDE}" name="Column4"/>
    <tableColumn id="5" xr3:uid="{E1132783-9AAC-4378-A824-348E0CDD673E}" name="Column5"/>
    <tableColumn id="6" xr3:uid="{1DDC02DE-408A-473C-B73C-6D768296C504}" name="Column6"/>
    <tableColumn id="7" xr3:uid="{DB7A6345-F5FB-42D2-ACEE-DE377CB4ECE8}" name="Column7"/>
    <tableColumn id="8" xr3:uid="{D8D313DD-52DC-4964-958E-250101D6D2EC}" name="Column8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CD243-E137-4A3D-8ECF-F0D8D0DB7D66}">
  <sheetPr codeName="Sheet2">
    <tabColor rgb="FFFF0000"/>
  </sheetPr>
  <dimension ref="A1:H31"/>
  <sheetViews>
    <sheetView zoomScaleNormal="100" workbookViewId="0">
      <selection activeCell="A15" sqref="A15"/>
    </sheetView>
  </sheetViews>
  <sheetFormatPr defaultRowHeight="14.4" x14ac:dyDescent="0.3"/>
  <cols>
    <col min="1" max="1" width="14.44140625" customWidth="1"/>
    <col min="2" max="2" width="10.109375" customWidth="1"/>
    <col min="3" max="3" width="12.6640625" bestFit="1" customWidth="1"/>
    <col min="4" max="4" width="10.109375" customWidth="1"/>
    <col min="5" max="5" width="13" customWidth="1"/>
    <col min="6" max="6" width="10.109375" customWidth="1"/>
    <col min="7" max="7" width="11.6640625" bestFit="1" customWidth="1"/>
    <col min="8" max="8" width="10.109375" customWidth="1"/>
  </cols>
  <sheetData>
    <row r="1" spans="1:8" x14ac:dyDescent="0.3">
      <c r="A1" s="2" t="s">
        <v>55</v>
      </c>
      <c r="B1" s="2"/>
      <c r="C1" s="2"/>
      <c r="D1" s="2"/>
      <c r="E1" s="2"/>
      <c r="F1" s="2"/>
      <c r="G1" s="2"/>
      <c r="H1" s="2"/>
    </row>
    <row r="2" spans="1:8" x14ac:dyDescent="0.3">
      <c r="A2" t="s">
        <v>43</v>
      </c>
      <c r="B2" t="s">
        <v>44</v>
      </c>
      <c r="C2" t="s">
        <v>45</v>
      </c>
      <c r="D2" t="s">
        <v>46</v>
      </c>
      <c r="E2" t="s">
        <v>47</v>
      </c>
      <c r="F2" t="s">
        <v>48</v>
      </c>
      <c r="G2" t="s">
        <v>49</v>
      </c>
      <c r="H2" t="s">
        <v>50</v>
      </c>
    </row>
    <row r="3" spans="1:8" x14ac:dyDescent="0.3">
      <c r="A3" t="s">
        <v>0</v>
      </c>
      <c r="B3" s="3"/>
      <c r="C3" t="s">
        <v>1</v>
      </c>
      <c r="D3" s="3"/>
      <c r="E3" t="s">
        <v>2</v>
      </c>
      <c r="G3" t="s">
        <v>3</v>
      </c>
      <c r="H3" s="3"/>
    </row>
    <row r="4" spans="1:8" x14ac:dyDescent="0.3">
      <c r="A4" t="s">
        <v>4</v>
      </c>
      <c r="B4" s="3"/>
      <c r="C4" t="s">
        <v>5</v>
      </c>
      <c r="D4" s="3"/>
      <c r="E4" t="s">
        <v>56</v>
      </c>
      <c r="G4" t="s">
        <v>6</v>
      </c>
      <c r="H4" s="3"/>
    </row>
    <row r="5" spans="1:8" x14ac:dyDescent="0.3">
      <c r="A5" t="s">
        <v>7</v>
      </c>
      <c r="B5" s="3"/>
      <c r="C5" t="s">
        <v>8</v>
      </c>
      <c r="D5" s="3"/>
      <c r="E5" t="s">
        <v>9</v>
      </c>
      <c r="G5" t="s">
        <v>10</v>
      </c>
      <c r="H5" s="3"/>
    </row>
    <row r="6" spans="1:8" x14ac:dyDescent="0.3">
      <c r="A6" t="s">
        <v>11</v>
      </c>
      <c r="B6" s="3"/>
      <c r="C6" t="s">
        <v>12</v>
      </c>
      <c r="D6" s="3"/>
      <c r="E6" t="s">
        <v>13</v>
      </c>
      <c r="G6" t="s">
        <v>14</v>
      </c>
      <c r="H6" s="3"/>
    </row>
    <row r="7" spans="1:8" x14ac:dyDescent="0.3">
      <c r="A7" t="s">
        <v>15</v>
      </c>
      <c r="B7" s="3"/>
      <c r="C7" t="s">
        <v>16</v>
      </c>
      <c r="D7" s="3"/>
      <c r="E7" t="s">
        <v>57</v>
      </c>
      <c r="G7" t="s">
        <v>17</v>
      </c>
      <c r="H7" s="3"/>
    </row>
    <row r="8" spans="1:8" x14ac:dyDescent="0.3">
      <c r="A8" t="s">
        <v>18</v>
      </c>
      <c r="B8" s="3"/>
      <c r="C8" t="s">
        <v>19</v>
      </c>
      <c r="D8" s="3"/>
      <c r="E8" t="s">
        <v>20</v>
      </c>
      <c r="G8" t="s">
        <v>21</v>
      </c>
      <c r="H8" s="3"/>
    </row>
    <row r="9" spans="1:8" x14ac:dyDescent="0.3">
      <c r="A9" t="s">
        <v>22</v>
      </c>
      <c r="B9" s="3"/>
      <c r="C9" t="s">
        <v>58</v>
      </c>
      <c r="D9" s="3"/>
      <c r="E9" t="s">
        <v>23</v>
      </c>
      <c r="G9" t="s">
        <v>24</v>
      </c>
      <c r="H9" s="3"/>
    </row>
    <row r="10" spans="1:8" x14ac:dyDescent="0.3">
      <c r="A10" t="s">
        <v>25</v>
      </c>
      <c r="B10" s="3"/>
      <c r="C10" t="s">
        <v>26</v>
      </c>
      <c r="D10" s="3"/>
      <c r="E10" t="s">
        <v>27</v>
      </c>
      <c r="G10" t="s">
        <v>28</v>
      </c>
      <c r="H10" s="3"/>
    </row>
    <row r="11" spans="1:8" x14ac:dyDescent="0.3">
      <c r="A11" t="s">
        <v>29</v>
      </c>
      <c r="B11" s="3"/>
      <c r="C11" t="s">
        <v>30</v>
      </c>
      <c r="D11" s="3"/>
      <c r="E11" t="s">
        <v>31</v>
      </c>
      <c r="G11" t="s">
        <v>32</v>
      </c>
      <c r="H11" s="3"/>
    </row>
    <row r="12" spans="1:8" x14ac:dyDescent="0.3">
      <c r="A12" t="s">
        <v>33</v>
      </c>
      <c r="B12" s="3"/>
      <c r="C12" t="s">
        <v>34</v>
      </c>
      <c r="D12" s="3"/>
      <c r="E12" t="s">
        <v>35</v>
      </c>
      <c r="G12" t="s">
        <v>36</v>
      </c>
      <c r="H12" s="3"/>
    </row>
    <row r="13" spans="1:8" x14ac:dyDescent="0.3">
      <c r="A13" s="1" t="s">
        <v>51</v>
      </c>
      <c r="B13" s="1">
        <f>SUM(B3:B12)</f>
        <v>0</v>
      </c>
      <c r="C13" s="1"/>
      <c r="D13" s="1">
        <f>SUM(D3:D12)</f>
        <v>0</v>
      </c>
      <c r="E13" s="1"/>
      <c r="F13" s="1">
        <f>SUM(F3:F12)</f>
        <v>0</v>
      </c>
      <c r="G13" s="1"/>
      <c r="H13" s="1">
        <f>SUM(H3:H12)</f>
        <v>0</v>
      </c>
    </row>
    <row r="14" spans="1:8" x14ac:dyDescent="0.3">
      <c r="B14" s="5" t="s">
        <v>37</v>
      </c>
      <c r="C14" s="4"/>
      <c r="D14" s="6" t="s">
        <v>38</v>
      </c>
      <c r="E14" s="4"/>
      <c r="F14" s="7" t="s">
        <v>39</v>
      </c>
      <c r="G14" s="4"/>
      <c r="H14" s="8" t="s">
        <v>40</v>
      </c>
    </row>
    <row r="18" spans="1:4" x14ac:dyDescent="0.3">
      <c r="A18" t="s">
        <v>42</v>
      </c>
    </row>
    <row r="19" spans="1:4" x14ac:dyDescent="0.3">
      <c r="A19" t="s">
        <v>52</v>
      </c>
      <c r="B19" t="s">
        <v>53</v>
      </c>
    </row>
    <row r="20" spans="1:4" x14ac:dyDescent="0.3">
      <c r="A20">
        <f>-H13</f>
        <v>0</v>
      </c>
      <c r="B20">
        <v>0</v>
      </c>
    </row>
    <row r="21" spans="1:4" x14ac:dyDescent="0.3">
      <c r="A21">
        <v>0</v>
      </c>
      <c r="B21">
        <f>B13</f>
        <v>0</v>
      </c>
    </row>
    <row r="22" spans="1:4" x14ac:dyDescent="0.3">
      <c r="A22">
        <f>D13</f>
        <v>0</v>
      </c>
      <c r="B22">
        <v>0</v>
      </c>
    </row>
    <row r="23" spans="1:4" x14ac:dyDescent="0.3">
      <c r="A23">
        <v>0</v>
      </c>
      <c r="B23">
        <f>-F13</f>
        <v>0</v>
      </c>
    </row>
    <row r="25" spans="1:4" x14ac:dyDescent="0.3">
      <c r="A25" s="2" t="e">
        <f>centroid(A20:B23, "x")</f>
        <v>#VALUE!</v>
      </c>
      <c r="B25" s="2" t="e">
        <f>centroid(A20:B23, "y")</f>
        <v>#VALUE!</v>
      </c>
      <c r="C25" t="s">
        <v>41</v>
      </c>
    </row>
    <row r="28" spans="1:4" x14ac:dyDescent="0.3">
      <c r="A28" t="s">
        <v>54</v>
      </c>
    </row>
    <row r="29" spans="1:4" x14ac:dyDescent="0.3">
      <c r="A29" t="s">
        <v>37</v>
      </c>
      <c r="B29" t="s">
        <v>38</v>
      </c>
      <c r="C29" t="s">
        <v>39</v>
      </c>
      <c r="D29" t="s">
        <v>40</v>
      </c>
    </row>
    <row r="30" spans="1:4" x14ac:dyDescent="0.3">
      <c r="A30">
        <f>B13</f>
        <v>0</v>
      </c>
      <c r="B30">
        <f>D13</f>
        <v>0</v>
      </c>
      <c r="C30">
        <f>F13</f>
        <v>0</v>
      </c>
      <c r="D30">
        <f>H13</f>
        <v>0</v>
      </c>
    </row>
    <row r="31" spans="1:4" x14ac:dyDescent="0.3">
      <c r="A31" t="e">
        <f>IF(B25&gt;=0,B25,0)</f>
        <v>#VALUE!</v>
      </c>
      <c r="B31" t="e">
        <f>IF(A25&gt;=0,A25,0)</f>
        <v>#VALUE!</v>
      </c>
      <c r="C31" t="e">
        <f>IF(B25&lt;0,B25,0)</f>
        <v>#VALUE!</v>
      </c>
      <c r="D31" t="e">
        <f>IF(A25&lt;0,A25,0)</f>
        <v>#VALUE!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3149-D003-4674-82E7-AAFDA342396B}">
  <sheetPr codeName="Sheet3"/>
  <dimension ref="A1:H31"/>
  <sheetViews>
    <sheetView tabSelected="1" zoomScaleNormal="100" workbookViewId="0">
      <selection activeCell="A15" sqref="A15"/>
    </sheetView>
  </sheetViews>
  <sheetFormatPr defaultRowHeight="14.4" x14ac:dyDescent="0.3"/>
  <cols>
    <col min="1" max="1" width="14.44140625" customWidth="1"/>
    <col min="2" max="2" width="10.109375" customWidth="1"/>
    <col min="3" max="3" width="12.6640625" bestFit="1" customWidth="1"/>
    <col min="4" max="4" width="10.109375" customWidth="1"/>
    <col min="5" max="5" width="13" customWidth="1"/>
    <col min="6" max="6" width="10.109375" customWidth="1"/>
    <col min="7" max="7" width="11.6640625" bestFit="1" customWidth="1"/>
    <col min="8" max="8" width="10.109375" customWidth="1"/>
  </cols>
  <sheetData>
    <row r="1" spans="1:8" x14ac:dyDescent="0.3">
      <c r="A1" s="2" t="s">
        <v>55</v>
      </c>
      <c r="B1" s="2"/>
      <c r="C1" s="2"/>
      <c r="D1" s="2"/>
      <c r="E1" s="2"/>
      <c r="F1" s="2"/>
      <c r="G1" s="2"/>
      <c r="H1" s="2"/>
    </row>
    <row r="2" spans="1:8" x14ac:dyDescent="0.3">
      <c r="A2" t="s">
        <v>43</v>
      </c>
      <c r="B2" t="s">
        <v>44</v>
      </c>
      <c r="C2" t="s">
        <v>45</v>
      </c>
      <c r="D2" t="s">
        <v>46</v>
      </c>
      <c r="E2" t="s">
        <v>47</v>
      </c>
      <c r="F2" t="s">
        <v>48</v>
      </c>
      <c r="G2" t="s">
        <v>49</v>
      </c>
      <c r="H2" t="s">
        <v>50</v>
      </c>
    </row>
    <row r="3" spans="1:8" x14ac:dyDescent="0.3">
      <c r="A3" t="s">
        <v>0</v>
      </c>
      <c r="B3" s="3">
        <v>2</v>
      </c>
      <c r="C3" t="s">
        <v>1</v>
      </c>
      <c r="D3" s="3">
        <v>3</v>
      </c>
      <c r="E3" t="s">
        <v>2</v>
      </c>
      <c r="F3">
        <v>4</v>
      </c>
      <c r="G3" t="s">
        <v>3</v>
      </c>
      <c r="H3" s="3">
        <v>1</v>
      </c>
    </row>
    <row r="4" spans="1:8" x14ac:dyDescent="0.3">
      <c r="A4" t="s">
        <v>4</v>
      </c>
      <c r="B4" s="3">
        <v>2</v>
      </c>
      <c r="C4" t="s">
        <v>5</v>
      </c>
      <c r="D4" s="3">
        <v>1</v>
      </c>
      <c r="E4" t="s">
        <v>56</v>
      </c>
      <c r="F4">
        <v>4</v>
      </c>
      <c r="G4" t="s">
        <v>6</v>
      </c>
      <c r="H4" s="3">
        <v>3</v>
      </c>
    </row>
    <row r="5" spans="1:8" x14ac:dyDescent="0.3">
      <c r="A5" t="s">
        <v>7</v>
      </c>
      <c r="B5" s="3">
        <v>2</v>
      </c>
      <c r="C5" t="s">
        <v>8</v>
      </c>
      <c r="D5" s="3">
        <v>1</v>
      </c>
      <c r="E5" t="s">
        <v>9</v>
      </c>
      <c r="F5">
        <v>3</v>
      </c>
      <c r="G5" t="s">
        <v>10</v>
      </c>
      <c r="H5" s="3">
        <v>4</v>
      </c>
    </row>
    <row r="6" spans="1:8" x14ac:dyDescent="0.3">
      <c r="A6" t="s">
        <v>11</v>
      </c>
      <c r="B6" s="3">
        <v>2</v>
      </c>
      <c r="C6" t="s">
        <v>12</v>
      </c>
      <c r="D6" s="3">
        <v>3</v>
      </c>
      <c r="E6" t="s">
        <v>13</v>
      </c>
      <c r="F6">
        <v>1</v>
      </c>
      <c r="G6" t="s">
        <v>14</v>
      </c>
      <c r="H6" s="3">
        <v>4</v>
      </c>
    </row>
    <row r="7" spans="1:8" x14ac:dyDescent="0.3">
      <c r="A7" t="s">
        <v>15</v>
      </c>
      <c r="B7" s="3">
        <v>2</v>
      </c>
      <c r="C7" t="s">
        <v>16</v>
      </c>
      <c r="D7" s="3">
        <v>1</v>
      </c>
      <c r="E7" t="s">
        <v>57</v>
      </c>
      <c r="F7">
        <v>3</v>
      </c>
      <c r="G7" t="s">
        <v>17</v>
      </c>
      <c r="H7" s="3">
        <v>4</v>
      </c>
    </row>
    <row r="8" spans="1:8" x14ac:dyDescent="0.3">
      <c r="A8" t="s">
        <v>18</v>
      </c>
      <c r="B8" s="3">
        <v>1</v>
      </c>
      <c r="C8" t="s">
        <v>19</v>
      </c>
      <c r="D8" s="3">
        <v>3</v>
      </c>
      <c r="E8" t="s">
        <v>20</v>
      </c>
      <c r="F8">
        <v>4</v>
      </c>
      <c r="G8" t="s">
        <v>21</v>
      </c>
      <c r="H8" s="3">
        <v>2</v>
      </c>
    </row>
    <row r="9" spans="1:8" x14ac:dyDescent="0.3">
      <c r="A9" t="s">
        <v>22</v>
      </c>
      <c r="B9" s="3">
        <v>1</v>
      </c>
      <c r="C9" t="s">
        <v>58</v>
      </c>
      <c r="D9" s="3">
        <v>3</v>
      </c>
      <c r="E9" t="s">
        <v>23</v>
      </c>
      <c r="F9">
        <v>2</v>
      </c>
      <c r="G9" t="s">
        <v>24</v>
      </c>
      <c r="H9" s="3">
        <v>4</v>
      </c>
    </row>
    <row r="10" spans="1:8" x14ac:dyDescent="0.3">
      <c r="A10" t="s">
        <v>25</v>
      </c>
      <c r="B10" s="3">
        <v>4</v>
      </c>
      <c r="C10" t="s">
        <v>26</v>
      </c>
      <c r="D10" s="3">
        <v>3</v>
      </c>
      <c r="E10" t="s">
        <v>27</v>
      </c>
      <c r="F10">
        <v>2</v>
      </c>
      <c r="G10" t="s">
        <v>28</v>
      </c>
      <c r="H10" s="3">
        <v>1</v>
      </c>
    </row>
    <row r="11" spans="1:8" x14ac:dyDescent="0.3">
      <c r="A11" t="s">
        <v>29</v>
      </c>
      <c r="B11" s="3">
        <v>2</v>
      </c>
      <c r="C11" t="s">
        <v>30</v>
      </c>
      <c r="D11" s="3">
        <v>1</v>
      </c>
      <c r="E11" t="s">
        <v>31</v>
      </c>
      <c r="F11">
        <v>4</v>
      </c>
      <c r="G11" t="s">
        <v>32</v>
      </c>
      <c r="H11" s="3">
        <v>3</v>
      </c>
    </row>
    <row r="12" spans="1:8" x14ac:dyDescent="0.3">
      <c r="A12" t="s">
        <v>33</v>
      </c>
      <c r="B12" s="3">
        <v>2</v>
      </c>
      <c r="C12" t="s">
        <v>34</v>
      </c>
      <c r="D12" s="3">
        <v>1</v>
      </c>
      <c r="E12" t="s">
        <v>35</v>
      </c>
      <c r="F12">
        <v>3</v>
      </c>
      <c r="G12" t="s">
        <v>36</v>
      </c>
      <c r="H12" s="3">
        <v>4</v>
      </c>
    </row>
    <row r="13" spans="1:8" x14ac:dyDescent="0.3">
      <c r="A13" s="1" t="s">
        <v>51</v>
      </c>
      <c r="B13" s="1">
        <f>SUM(B3:B12)</f>
        <v>20</v>
      </c>
      <c r="C13" s="1"/>
      <c r="D13" s="1">
        <f>SUM(D3:D12)</f>
        <v>20</v>
      </c>
      <c r="E13" s="1"/>
      <c r="F13" s="1">
        <f>SUM(F3:F12)</f>
        <v>30</v>
      </c>
      <c r="G13" s="1"/>
      <c r="H13" s="1">
        <f>SUM(H3:H12)</f>
        <v>30</v>
      </c>
    </row>
    <row r="14" spans="1:8" x14ac:dyDescent="0.3">
      <c r="B14" s="5" t="s">
        <v>37</v>
      </c>
      <c r="C14" s="4"/>
      <c r="D14" s="6" t="s">
        <v>38</v>
      </c>
      <c r="E14" s="4"/>
      <c r="F14" s="7" t="s">
        <v>39</v>
      </c>
      <c r="G14" s="4"/>
      <c r="H14" s="8" t="s">
        <v>40</v>
      </c>
    </row>
    <row r="18" spans="1:4" x14ac:dyDescent="0.3">
      <c r="A18" t="s">
        <v>42</v>
      </c>
    </row>
    <row r="19" spans="1:4" x14ac:dyDescent="0.3">
      <c r="A19" t="s">
        <v>52</v>
      </c>
      <c r="B19" t="s">
        <v>53</v>
      </c>
    </row>
    <row r="20" spans="1:4" x14ac:dyDescent="0.3">
      <c r="A20">
        <f>-H13</f>
        <v>-30</v>
      </c>
      <c r="B20">
        <v>0</v>
      </c>
    </row>
    <row r="21" spans="1:4" x14ac:dyDescent="0.3">
      <c r="A21">
        <v>0</v>
      </c>
      <c r="B21">
        <f>B13</f>
        <v>20</v>
      </c>
    </row>
    <row r="22" spans="1:4" x14ac:dyDescent="0.3">
      <c r="A22">
        <f>D13</f>
        <v>20</v>
      </c>
      <c r="B22">
        <v>0</v>
      </c>
    </row>
    <row r="23" spans="1:4" x14ac:dyDescent="0.3">
      <c r="A23">
        <v>0</v>
      </c>
      <c r="B23">
        <f>-F13</f>
        <v>-30</v>
      </c>
    </row>
    <row r="25" spans="1:4" x14ac:dyDescent="0.3">
      <c r="A25" s="2">
        <f>centroid(A20:B23, "x")</f>
        <v>-3.3333333333333335</v>
      </c>
      <c r="B25" s="2">
        <f>centroid(A20:B23, "y")</f>
        <v>-3.3333333333333335</v>
      </c>
      <c r="C25" t="s">
        <v>41</v>
      </c>
    </row>
    <row r="28" spans="1:4" x14ac:dyDescent="0.3">
      <c r="A28" t="s">
        <v>54</v>
      </c>
    </row>
    <row r="29" spans="1:4" x14ac:dyDescent="0.3">
      <c r="A29" t="s">
        <v>37</v>
      </c>
      <c r="B29" t="s">
        <v>38</v>
      </c>
      <c r="C29" t="s">
        <v>39</v>
      </c>
      <c r="D29" t="s">
        <v>40</v>
      </c>
    </row>
    <row r="30" spans="1:4" x14ac:dyDescent="0.3">
      <c r="A30">
        <f>B13</f>
        <v>20</v>
      </c>
      <c r="B30">
        <f>D13</f>
        <v>20</v>
      </c>
      <c r="C30">
        <f>F13</f>
        <v>30</v>
      </c>
      <c r="D30">
        <f>H13</f>
        <v>30</v>
      </c>
    </row>
    <row r="31" spans="1:4" x14ac:dyDescent="0.3">
      <c r="A31">
        <f>IF(B25&gt;=0,B25,0)</f>
        <v>0</v>
      </c>
      <c r="B31">
        <f>IF(A25&gt;=0,A25,0)</f>
        <v>0</v>
      </c>
      <c r="C31">
        <f>IF(B25&lt;0,B25,0)</f>
        <v>-3.3333333333333335</v>
      </c>
      <c r="D31">
        <f>IF(A25&lt;0,A25,0)</f>
        <v>-3.3333333333333335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</vt:lpstr>
      <vt:lpstr>Exmaple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2019-05-22T15:06:09Z</dcterms:created>
  <dcterms:modified xsi:type="dcterms:W3CDTF">2019-05-22T15:06:34Z</dcterms:modified>
</cp:coreProperties>
</file>